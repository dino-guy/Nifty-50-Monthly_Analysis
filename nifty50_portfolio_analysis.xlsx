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7037DAAF-1E49-4168-BA62-30A8FA852D7E}" xr6:coauthVersionLast="47" xr6:coauthVersionMax="47" xr10:uidLastSave="{00000000-0000-0000-0000-000000000000}"/>
  <bookViews>
    <workbookView xWindow="-111" yWindow="-111" windowWidth="26806" windowHeight="14456" tabRatio="500" xr2:uid="{00000000-000D-0000-FFFF-FFFF00000000}"/>
  </bookViews>
  <sheets>
    <sheet name="Trade Log" sheetId="1" r:id="rId1"/>
    <sheet name="Summary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E8" i="2"/>
  <c r="E7" i="2"/>
  <c r="B7" i="2"/>
  <c r="E6" i="2"/>
  <c r="B6" i="2"/>
  <c r="B8" i="2" s="1"/>
  <c r="E5" i="2"/>
  <c r="B5" i="2"/>
</calcChain>
</file>

<file path=xl/sharedStrings.xml><?xml version="1.0" encoding="utf-8"?>
<sst xmlns="http://schemas.openxmlformats.org/spreadsheetml/2006/main" count="158" uniqueCount="76">
  <si>
    <t>📈  NIFTY 50 — TECHNICAL ANALYSIS TRADE LOG</t>
  </si>
  <si>
    <t>Portfolio Project  |  Analysis Period: April – June 2026  |  Tool: TradingView + Microsoft Excel</t>
  </si>
  <si>
    <t>Stock</t>
  </si>
  <si>
    <t>Period</t>
  </si>
  <si>
    <t>Trend</t>
  </si>
  <si>
    <t>Support (₹)</t>
  </si>
  <si>
    <t>Resistance (₹)</t>
  </si>
  <si>
    <t>Entry (₹)</t>
  </si>
  <si>
    <t>Stop Loss (₹)</t>
  </si>
  <si>
    <t>Target (₹)</t>
  </si>
  <si>
    <t>Risk %</t>
  </si>
  <si>
    <t>Reward %</t>
  </si>
  <si>
    <t>R:R Ratio</t>
  </si>
  <si>
    <t>Setup</t>
  </si>
  <si>
    <t>Outcome</t>
  </si>
  <si>
    <t>Reliance Industries</t>
  </si>
  <si>
    <t>May-June 2026</t>
  </si>
  <si>
    <t>Down trend</t>
  </si>
  <si>
    <t>1:4</t>
  </si>
  <si>
    <t>Sell setup</t>
  </si>
  <si>
    <t>Profit</t>
  </si>
  <si>
    <t>TCS</t>
  </si>
  <si>
    <t>April-May 2026</t>
  </si>
  <si>
    <t>1:5</t>
  </si>
  <si>
    <t>Loss</t>
  </si>
  <si>
    <t>Infosys</t>
  </si>
  <si>
    <t>Sideways to Down</t>
  </si>
  <si>
    <t>HDFC Bank</t>
  </si>
  <si>
    <t>ICICI Bank</t>
  </si>
  <si>
    <t>SBI</t>
  </si>
  <si>
    <t>Axis Bank</t>
  </si>
  <si>
    <t>Bullish Reversal</t>
  </si>
  <si>
    <t>Buy setup</t>
  </si>
  <si>
    <t>Kotak Mahindra Bank</t>
  </si>
  <si>
    <t>Up trend</t>
  </si>
  <si>
    <t>Bharti Airtel</t>
  </si>
  <si>
    <t>ITC</t>
  </si>
  <si>
    <t>Larsen &amp; Toubro</t>
  </si>
  <si>
    <t>Maruti Suzuki</t>
  </si>
  <si>
    <t>1:2</t>
  </si>
  <si>
    <t>Tata Motors</t>
  </si>
  <si>
    <t>Sun Pharma</t>
  </si>
  <si>
    <t>NTPC</t>
  </si>
  <si>
    <t>UltraTech Cement</t>
  </si>
  <si>
    <t>1:3</t>
  </si>
  <si>
    <t>Bajaj Finance</t>
  </si>
  <si>
    <t>HCLTech</t>
  </si>
  <si>
    <t>Asian Paints</t>
  </si>
  <si>
    <t>📊  PORTFOLIO PERFORMANCE SUMMARY</t>
  </si>
  <si>
    <t>Nifty 50 Top 20 Stocks  |  Technical Analysis Project  |  April – June 2026</t>
  </si>
  <si>
    <t>KEY PERFORMANCE INDICATORS</t>
  </si>
  <si>
    <t>OUTCOME BREAKDOWN</t>
  </si>
  <si>
    <t>Total Trades</t>
  </si>
  <si>
    <t>Profitable Trades</t>
  </si>
  <si>
    <t>Profitable</t>
  </si>
  <si>
    <t>Loss Trades</t>
  </si>
  <si>
    <t>Buy Setups</t>
  </si>
  <si>
    <t>Win Rate</t>
  </si>
  <si>
    <t>Sell Setups</t>
  </si>
  <si>
    <t>Avg Risk %</t>
  </si>
  <si>
    <t>Avg Reward %</t>
  </si>
  <si>
    <t>Best R:R</t>
  </si>
  <si>
    <t>Setups Analyzed</t>
  </si>
  <si>
    <t>PROJECT DESCRIPTION</t>
  </si>
  <si>
    <t>Objective</t>
  </si>
  <si>
    <t>Conducted technical analysis of Nifty 50 top 20 stocks using price action and chart patterns.</t>
  </si>
  <si>
    <t>Methodology</t>
  </si>
  <si>
    <t>Identified market trends, key support/resistance levels, and created intraday &amp; swing trade setups.</t>
  </si>
  <si>
    <t>Tools Used</t>
  </si>
  <si>
    <t>TradingView (chart analysis &amp; trade planning) | Microsoft Excel (data organisation &amp; reporting)</t>
  </si>
  <si>
    <t>Skills Applied</t>
  </si>
  <si>
    <t>Technical Analysis · Trend Analysis · Support &amp; Resistance · Risk Management · Trade Planning</t>
  </si>
  <si>
    <t>Trade Criteria</t>
  </si>
  <si>
    <t>Entry, Stop-Loss, and Target levels defined for each stock with minimum 1:2 Risk-Reward Ratio</t>
  </si>
  <si>
    <t>Use Case</t>
  </si>
  <si>
    <t>Suitable for: Finance Internships · Stock Analyst Roles · Dealer Roles · Trading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</si>
</sst>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B85C00"/>
      <name val="Arial"/>
      <charset val="1"/>
    </font>
    <font>
      <b/>
      <sz val="10"/>
      <color rgb="FF1A6B3A"/>
      <name val="Arial"/>
      <charset val="1"/>
    </font>
    <font>
      <b/>
      <sz val="10"/>
      <color rgb="FFB71C1C"/>
      <name val="Arial"/>
      <charset val="1"/>
    </font>
    <font>
      <b/>
      <sz val="10"/>
      <color rgb="FF0057B8"/>
      <name val="Arial"/>
      <charset val="1"/>
    </font>
    <font>
      <b/>
      <sz val="11"/>
      <color rgb="FF0D1B2A"/>
      <name val="Arial"/>
      <charset val="1"/>
    </font>
    <font>
      <sz val="10"/>
      <color rgb="FF444444"/>
      <name val="Arial"/>
      <charset val="1"/>
    </font>
    <font>
      <b/>
      <sz val="11"/>
      <color rgb="FF1A6B3A"/>
      <name val="Arial"/>
      <charset val="1"/>
    </font>
    <font>
      <b/>
      <sz val="11"/>
      <color rgb="FFB71C1C"/>
      <name val="Arial"/>
      <charset val="1"/>
    </font>
    <font>
      <b/>
      <sz val="11"/>
      <color rgb="FF0057B8"/>
      <name val="Arial"/>
      <charset val="1"/>
    </font>
    <font>
      <b/>
      <sz val="11"/>
      <color rgb="FFB85C00"/>
      <name val="Arial"/>
      <charset val="1"/>
    </font>
    <font>
      <b/>
      <sz val="10"/>
      <color rgb="FF0D1B2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4F6FA"/>
        <bgColor rgb="FFEEF2FA"/>
      </patternFill>
    </fill>
    <fill>
      <patternFill patternType="solid">
        <fgColor rgb="FFC9A84C"/>
        <bgColor rgb="FFFF9900"/>
      </patternFill>
    </fill>
    <fill>
      <patternFill patternType="solid">
        <fgColor rgb="FFFFE8CC"/>
        <bgColor rgb="FFFDECEA"/>
      </patternFill>
    </fill>
    <fill>
      <patternFill patternType="solid">
        <fgColor rgb="FFD6F5E3"/>
        <bgColor rgb="FFE3F0FF"/>
      </patternFill>
    </fill>
    <fill>
      <patternFill patternType="solid">
        <fgColor rgb="FFEEF2FA"/>
        <bgColor rgb="FFF4F6FA"/>
      </patternFill>
    </fill>
    <fill>
      <patternFill patternType="solid">
        <fgColor rgb="FFFDECEA"/>
        <bgColor rgb="FFFFF3E0"/>
      </patternFill>
    </fill>
    <fill>
      <patternFill patternType="solid">
        <fgColor rgb="FFD0E8FF"/>
        <bgColor rgb="FFE3F0FF"/>
      </patternFill>
    </fill>
    <fill>
      <patternFill patternType="solid">
        <fgColor rgb="FFFFFFFF"/>
        <bgColor rgb="FFF4F6FA"/>
      </patternFill>
    </fill>
    <fill>
      <patternFill patternType="solid">
        <fgColor rgb="FFE3F0FF"/>
        <bgColor rgb="FFEEF2FA"/>
      </patternFill>
    </fill>
    <fill>
      <patternFill patternType="solid">
        <fgColor rgb="FFFFF3E0"/>
        <bgColor rgb="FFFDECEA"/>
      </patternFill>
    </fill>
  </fills>
  <borders count="9">
    <border>
      <left/>
      <right/>
      <top/>
      <bottom/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  <border>
      <left style="thin">
        <color rgb="FFC5CAD4"/>
      </left>
      <right/>
      <top style="thin">
        <color rgb="FFC5CAD4"/>
      </top>
      <bottom style="thin">
        <color rgb="FFC5CA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0" borderId="0" xfId="0" applyFont="1"/>
    <xf numFmtId="0" fontId="11" fillId="3" borderId="1" xfId="0" applyFont="1" applyFill="1" applyBorder="1" applyAlignment="1">
      <alignment horizontal="left" vertical="center" indent="1"/>
    </xf>
    <xf numFmtId="1" fontId="10" fillId="1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13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164" fontId="10" fillId="6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indent="1"/>
    </xf>
    <xf numFmtId="0" fontId="15" fillId="12" borderId="1" xfId="0" applyFont="1" applyFill="1" applyBorder="1" applyAlignment="1">
      <alignment horizontal="center" vertical="center"/>
    </xf>
    <xf numFmtId="10" fontId="10" fillId="10" borderId="1" xfId="0" applyNumberFormat="1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center" vertical="center"/>
    </xf>
    <xf numFmtId="10" fontId="5" fillId="7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1"/>
    </xf>
    <xf numFmtId="0" fontId="10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7" xfId="0" applyFont="1" applyBorder="1" applyAlignment="1">
      <alignment horizontal="left" vertical="center" indent="1"/>
    </xf>
    <xf numFmtId="0" fontId="4" fillId="7" borderId="8" xfId="0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5CAD4"/>
      <rgbColor rgb="FF808080"/>
      <rgbColor rgb="FF9999FF"/>
      <rgbColor rgb="FF993366"/>
      <rgbColor rgb="FFFFF3E0"/>
      <rgbColor rgb="FFE3F0FF"/>
      <rgbColor rgb="FF660066"/>
      <rgbColor rgb="FFFF8080"/>
      <rgbColor rgb="FF0057B8"/>
      <rgbColor rgb="FFEEF2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F"/>
      <rgbColor rgb="FFD6F5E3"/>
      <rgbColor rgb="FFFFE8CC"/>
      <rgbColor rgb="FFF4F6FA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B85C00"/>
      <rgbColor rgb="FF555555"/>
      <rgbColor rgb="FFC9A84C"/>
      <rgbColor rgb="FF003366"/>
      <rgbColor rgb="FF339966"/>
      <rgbColor rgb="FF0D1B2A"/>
      <rgbColor rgb="FF333300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9" sqref="E29"/>
    </sheetView>
  </sheetViews>
  <sheetFormatPr defaultColWidth="8.625" defaultRowHeight="14.55" x14ac:dyDescent="0.25"/>
  <cols>
    <col min="1" max="1" width="22" style="41" customWidth="1"/>
    <col min="2" max="2" width="16" customWidth="1"/>
    <col min="3" max="3" width="20" customWidth="1"/>
    <col min="4" max="4" width="13" customWidth="1"/>
    <col min="5" max="5" width="14" customWidth="1"/>
    <col min="6" max="6" width="12" customWidth="1"/>
    <col min="7" max="7" width="13" customWidth="1"/>
    <col min="8" max="8" width="12" customWidth="1"/>
    <col min="9" max="9" width="9" customWidth="1"/>
    <col min="10" max="11" width="10" customWidth="1"/>
    <col min="12" max="12" width="12" customWidth="1"/>
    <col min="13" max="13" width="10" customWidth="1"/>
  </cols>
  <sheetData>
    <row r="1" spans="1:13" ht="37.6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19.600000000000001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0.7" customHeight="1" x14ac:dyDescent="0.25"/>
    <row r="4" spans="1:13" ht="31.5" customHeight="1" x14ac:dyDescent="0.25">
      <c r="A4" s="36" t="s">
        <v>2</v>
      </c>
      <c r="B4" s="36" t="s">
        <v>3</v>
      </c>
      <c r="C4" s="37" t="s">
        <v>4</v>
      </c>
      <c r="D4" s="37" t="s">
        <v>5</v>
      </c>
      <c r="E4" s="37" t="s">
        <v>6</v>
      </c>
      <c r="F4" s="37" t="s">
        <v>7</v>
      </c>
      <c r="G4" s="37" t="s">
        <v>8</v>
      </c>
      <c r="H4" s="37" t="s">
        <v>9</v>
      </c>
      <c r="I4" s="37" t="s">
        <v>10</v>
      </c>
      <c r="J4" s="37" t="s">
        <v>11</v>
      </c>
      <c r="K4" s="37" t="s">
        <v>12</v>
      </c>
      <c r="L4" s="37" t="s">
        <v>13</v>
      </c>
      <c r="M4" s="37" t="s">
        <v>14</v>
      </c>
    </row>
    <row r="5" spans="1:13" x14ac:dyDescent="0.25">
      <c r="A5" s="42" t="s">
        <v>15</v>
      </c>
      <c r="B5" s="38" t="s">
        <v>16</v>
      </c>
      <c r="C5" s="27" t="s">
        <v>17</v>
      </c>
      <c r="D5" s="28">
        <v>1317</v>
      </c>
      <c r="E5" s="28">
        <v>1473.4</v>
      </c>
      <c r="F5" s="28">
        <v>1310</v>
      </c>
      <c r="G5" s="28">
        <v>1325</v>
      </c>
      <c r="H5" s="28">
        <v>1250</v>
      </c>
      <c r="I5" s="29">
        <v>0.02</v>
      </c>
      <c r="J5" s="29">
        <v>4.58E-2</v>
      </c>
      <c r="K5" s="27" t="s">
        <v>18</v>
      </c>
      <c r="L5" s="30" t="s">
        <v>19</v>
      </c>
      <c r="M5" s="31" t="s">
        <v>20</v>
      </c>
    </row>
    <row r="6" spans="1:13" x14ac:dyDescent="0.25">
      <c r="A6" s="43" t="s">
        <v>21</v>
      </c>
      <c r="B6" s="39" t="s">
        <v>22</v>
      </c>
      <c r="C6" s="22" t="s">
        <v>17</v>
      </c>
      <c r="D6" s="23">
        <v>2390</v>
      </c>
      <c r="E6" s="23">
        <v>2500</v>
      </c>
      <c r="F6" s="23">
        <v>2480</v>
      </c>
      <c r="G6" s="23">
        <v>2505</v>
      </c>
      <c r="H6" s="23">
        <v>2355</v>
      </c>
      <c r="I6" s="24">
        <v>1.01E-2</v>
      </c>
      <c r="J6" s="24">
        <v>5.04E-2</v>
      </c>
      <c r="K6" s="22" t="s">
        <v>23</v>
      </c>
      <c r="L6" s="20" t="s">
        <v>19</v>
      </c>
      <c r="M6" s="25" t="s">
        <v>24</v>
      </c>
    </row>
    <row r="7" spans="1:13" x14ac:dyDescent="0.25">
      <c r="A7" s="44" t="s">
        <v>25</v>
      </c>
      <c r="B7" s="40" t="s">
        <v>16</v>
      </c>
      <c r="C7" s="17" t="s">
        <v>26</v>
      </c>
      <c r="D7" s="18">
        <v>1090</v>
      </c>
      <c r="E7" s="18">
        <v>1205</v>
      </c>
      <c r="F7" s="18">
        <v>1180</v>
      </c>
      <c r="G7" s="18">
        <v>1205</v>
      </c>
      <c r="H7" s="18">
        <v>1055</v>
      </c>
      <c r="I7" s="19">
        <v>2.12E-2</v>
      </c>
      <c r="J7" s="19">
        <v>0.10589999999999999</v>
      </c>
      <c r="K7" s="17" t="s">
        <v>23</v>
      </c>
      <c r="L7" s="20" t="s">
        <v>19</v>
      </c>
      <c r="M7" s="21" t="s">
        <v>20</v>
      </c>
    </row>
    <row r="8" spans="1:13" x14ac:dyDescent="0.25">
      <c r="A8" s="43" t="s">
        <v>27</v>
      </c>
      <c r="B8" s="39" t="s">
        <v>16</v>
      </c>
      <c r="C8" s="22" t="s">
        <v>17</v>
      </c>
      <c r="D8" s="23">
        <v>735</v>
      </c>
      <c r="E8" s="23">
        <v>800</v>
      </c>
      <c r="F8" s="23">
        <v>780</v>
      </c>
      <c r="G8" s="23">
        <v>800</v>
      </c>
      <c r="H8" s="23">
        <v>680</v>
      </c>
      <c r="I8" s="24">
        <v>2.5600000000000001E-2</v>
      </c>
      <c r="J8" s="24">
        <v>0.12820000000000001</v>
      </c>
      <c r="K8" s="22" t="s">
        <v>23</v>
      </c>
      <c r="L8" s="20" t="s">
        <v>19</v>
      </c>
      <c r="M8" s="21" t="s">
        <v>20</v>
      </c>
    </row>
    <row r="9" spans="1:13" x14ac:dyDescent="0.25">
      <c r="A9" s="44" t="s">
        <v>28</v>
      </c>
      <c r="B9" s="40" t="s">
        <v>16</v>
      </c>
      <c r="C9" s="17" t="s">
        <v>17</v>
      </c>
      <c r="D9" s="18">
        <v>1215</v>
      </c>
      <c r="E9" s="18">
        <v>1340</v>
      </c>
      <c r="F9" s="18">
        <v>1280</v>
      </c>
      <c r="G9" s="18">
        <v>1300</v>
      </c>
      <c r="H9" s="18">
        <v>1180</v>
      </c>
      <c r="I9" s="19">
        <v>1.5599999999999999E-2</v>
      </c>
      <c r="J9" s="19">
        <v>7.8100000000000003E-2</v>
      </c>
      <c r="K9" s="17" t="s">
        <v>23</v>
      </c>
      <c r="L9" s="20" t="s">
        <v>19</v>
      </c>
      <c r="M9" s="25" t="s">
        <v>24</v>
      </c>
    </row>
    <row r="10" spans="1:13" x14ac:dyDescent="0.25">
      <c r="A10" s="43" t="s">
        <v>29</v>
      </c>
      <c r="B10" s="39" t="s">
        <v>22</v>
      </c>
      <c r="C10" s="22" t="s">
        <v>17</v>
      </c>
      <c r="D10" s="23">
        <v>980</v>
      </c>
      <c r="E10" s="23">
        <v>1120</v>
      </c>
      <c r="F10" s="23">
        <v>1040</v>
      </c>
      <c r="G10" s="23">
        <v>1060</v>
      </c>
      <c r="H10" s="23">
        <v>940</v>
      </c>
      <c r="I10" s="24">
        <v>1.9199999999999998E-2</v>
      </c>
      <c r="J10" s="24">
        <v>9.6199999999999994E-2</v>
      </c>
      <c r="K10" s="22" t="s">
        <v>23</v>
      </c>
      <c r="L10" s="20" t="s">
        <v>19</v>
      </c>
      <c r="M10" s="21" t="s">
        <v>20</v>
      </c>
    </row>
    <row r="11" spans="1:13" x14ac:dyDescent="0.25">
      <c r="A11" s="44" t="s">
        <v>30</v>
      </c>
      <c r="B11" s="40" t="s">
        <v>16</v>
      </c>
      <c r="C11" s="17" t="s">
        <v>31</v>
      </c>
      <c r="D11" s="18">
        <v>1220</v>
      </c>
      <c r="E11" s="18">
        <v>1315</v>
      </c>
      <c r="F11" s="18">
        <v>1250</v>
      </c>
      <c r="G11" s="18">
        <v>1250</v>
      </c>
      <c r="H11" s="18">
        <v>1370</v>
      </c>
      <c r="I11" s="19">
        <v>1.5699999999999999E-2</v>
      </c>
      <c r="J11" s="19">
        <v>7.8700000000000006E-2</v>
      </c>
      <c r="K11" s="17" t="s">
        <v>23</v>
      </c>
      <c r="L11" s="26" t="s">
        <v>32</v>
      </c>
      <c r="M11" s="21" t="s">
        <v>20</v>
      </c>
    </row>
    <row r="12" spans="1:13" x14ac:dyDescent="0.25">
      <c r="A12" s="43" t="s">
        <v>33</v>
      </c>
      <c r="B12" s="39" t="s">
        <v>16</v>
      </c>
      <c r="C12" s="22" t="s">
        <v>34</v>
      </c>
      <c r="D12" s="23">
        <v>372</v>
      </c>
      <c r="E12" s="23">
        <v>410</v>
      </c>
      <c r="F12" s="23">
        <v>400</v>
      </c>
      <c r="G12" s="23">
        <v>395</v>
      </c>
      <c r="H12" s="23">
        <v>425</v>
      </c>
      <c r="I12" s="24">
        <v>1.2500000000000001E-2</v>
      </c>
      <c r="J12" s="24">
        <v>6.25E-2</v>
      </c>
      <c r="K12" s="22" t="s">
        <v>23</v>
      </c>
      <c r="L12" s="26" t="s">
        <v>32</v>
      </c>
      <c r="M12" s="25" t="s">
        <v>24</v>
      </c>
    </row>
    <row r="13" spans="1:13" x14ac:dyDescent="0.25">
      <c r="A13" s="44" t="s">
        <v>35</v>
      </c>
      <c r="B13" s="40" t="s">
        <v>16</v>
      </c>
      <c r="C13" s="17" t="s">
        <v>31</v>
      </c>
      <c r="D13" s="18">
        <v>1740</v>
      </c>
      <c r="E13" s="18">
        <v>1960</v>
      </c>
      <c r="F13" s="18">
        <v>1820</v>
      </c>
      <c r="G13" s="18">
        <v>1800</v>
      </c>
      <c r="H13" s="18">
        <v>1920</v>
      </c>
      <c r="I13" s="19">
        <v>1.0999999999999999E-2</v>
      </c>
      <c r="J13" s="19">
        <v>5.4899999999999997E-2</v>
      </c>
      <c r="K13" s="17" t="s">
        <v>23</v>
      </c>
      <c r="L13" s="26" t="s">
        <v>32</v>
      </c>
      <c r="M13" s="25" t="s">
        <v>24</v>
      </c>
    </row>
    <row r="14" spans="1:13" x14ac:dyDescent="0.25">
      <c r="A14" s="43" t="s">
        <v>36</v>
      </c>
      <c r="B14" s="39" t="s">
        <v>22</v>
      </c>
      <c r="C14" s="22" t="s">
        <v>34</v>
      </c>
      <c r="D14" s="23">
        <v>288</v>
      </c>
      <c r="E14" s="23">
        <v>318</v>
      </c>
      <c r="F14" s="23">
        <v>300</v>
      </c>
      <c r="G14" s="23">
        <v>296</v>
      </c>
      <c r="H14" s="23">
        <v>320</v>
      </c>
      <c r="I14" s="24">
        <v>1.3299999999999999E-2</v>
      </c>
      <c r="J14" s="24">
        <v>6.6699999999999995E-2</v>
      </c>
      <c r="K14" s="22" t="s">
        <v>23</v>
      </c>
      <c r="L14" s="26" t="s">
        <v>32</v>
      </c>
      <c r="M14" s="21" t="s">
        <v>20</v>
      </c>
    </row>
    <row r="15" spans="1:13" x14ac:dyDescent="0.25">
      <c r="A15" s="44" t="s">
        <v>37</v>
      </c>
      <c r="B15" s="40" t="s">
        <v>16</v>
      </c>
      <c r="C15" s="17" t="s">
        <v>17</v>
      </c>
      <c r="D15" s="18">
        <v>3850</v>
      </c>
      <c r="E15" s="18">
        <v>4100</v>
      </c>
      <c r="F15" s="18">
        <v>3900</v>
      </c>
      <c r="G15" s="18">
        <v>3940</v>
      </c>
      <c r="H15" s="18">
        <v>3700</v>
      </c>
      <c r="I15" s="19">
        <v>1.03E-2</v>
      </c>
      <c r="J15" s="19">
        <v>5.1299999999999998E-2</v>
      </c>
      <c r="K15" s="17" t="s">
        <v>23</v>
      </c>
      <c r="L15" s="20" t="s">
        <v>19</v>
      </c>
      <c r="M15" s="25" t="s">
        <v>24</v>
      </c>
    </row>
    <row r="16" spans="1:13" x14ac:dyDescent="0.25">
      <c r="A16" s="43" t="s">
        <v>38</v>
      </c>
      <c r="B16" s="39" t="s">
        <v>16</v>
      </c>
      <c r="C16" s="22" t="s">
        <v>17</v>
      </c>
      <c r="D16" s="23">
        <v>12700</v>
      </c>
      <c r="E16" s="23">
        <v>13800</v>
      </c>
      <c r="F16" s="23">
        <v>13000</v>
      </c>
      <c r="G16" s="23">
        <v>13260</v>
      </c>
      <c r="H16" s="23">
        <v>12480</v>
      </c>
      <c r="I16" s="24">
        <v>0.02</v>
      </c>
      <c r="J16" s="24">
        <v>0.04</v>
      </c>
      <c r="K16" s="22" t="s">
        <v>39</v>
      </c>
      <c r="L16" s="20" t="s">
        <v>19</v>
      </c>
      <c r="M16" s="21" t="s">
        <v>20</v>
      </c>
    </row>
    <row r="17" spans="1:13" x14ac:dyDescent="0.25">
      <c r="A17" s="44" t="s">
        <v>40</v>
      </c>
      <c r="B17" s="40" t="s">
        <v>22</v>
      </c>
      <c r="C17" s="17" t="s">
        <v>34</v>
      </c>
      <c r="D17" s="18">
        <v>390</v>
      </c>
      <c r="E17" s="18">
        <v>450</v>
      </c>
      <c r="F17" s="18">
        <v>410</v>
      </c>
      <c r="G17" s="18">
        <v>402</v>
      </c>
      <c r="H17" s="18">
        <v>426</v>
      </c>
      <c r="I17" s="19">
        <v>1.4999999999999999E-2</v>
      </c>
      <c r="J17" s="19">
        <v>0.03</v>
      </c>
      <c r="K17" s="17" t="s">
        <v>39</v>
      </c>
      <c r="L17" s="26" t="s">
        <v>32</v>
      </c>
      <c r="M17" s="21" t="s">
        <v>20</v>
      </c>
    </row>
    <row r="18" spans="1:13" x14ac:dyDescent="0.25">
      <c r="A18" s="43" t="s">
        <v>41</v>
      </c>
      <c r="B18" s="39" t="s">
        <v>22</v>
      </c>
      <c r="C18" s="22" t="s">
        <v>34</v>
      </c>
      <c r="D18" s="23">
        <v>1620</v>
      </c>
      <c r="E18" s="23">
        <v>1860</v>
      </c>
      <c r="F18" s="23">
        <v>1840</v>
      </c>
      <c r="G18" s="23">
        <v>1812.4</v>
      </c>
      <c r="H18" s="23">
        <v>1895.2</v>
      </c>
      <c r="I18" s="24">
        <v>1.4999999999999999E-2</v>
      </c>
      <c r="J18" s="24">
        <v>0.03</v>
      </c>
      <c r="K18" s="22" t="s">
        <v>39</v>
      </c>
      <c r="L18" s="26" t="s">
        <v>32</v>
      </c>
      <c r="M18" s="21" t="s">
        <v>20</v>
      </c>
    </row>
    <row r="19" spans="1:13" x14ac:dyDescent="0.25">
      <c r="A19" s="44" t="s">
        <v>42</v>
      </c>
      <c r="B19" s="40" t="s">
        <v>16</v>
      </c>
      <c r="C19" s="17" t="s">
        <v>17</v>
      </c>
      <c r="D19" s="18">
        <v>364</v>
      </c>
      <c r="E19" s="18">
        <v>415</v>
      </c>
      <c r="F19" s="18">
        <v>366</v>
      </c>
      <c r="G19" s="18">
        <v>371.49</v>
      </c>
      <c r="H19" s="18">
        <v>355.02</v>
      </c>
      <c r="I19" s="19">
        <v>1.4999999999999999E-2</v>
      </c>
      <c r="J19" s="19">
        <v>0.03</v>
      </c>
      <c r="K19" s="17" t="s">
        <v>39</v>
      </c>
      <c r="L19" s="20" t="s">
        <v>19</v>
      </c>
      <c r="M19" s="21" t="s">
        <v>20</v>
      </c>
    </row>
    <row r="20" spans="1:13" x14ac:dyDescent="0.25">
      <c r="A20" s="43" t="s">
        <v>43</v>
      </c>
      <c r="B20" s="39" t="s">
        <v>22</v>
      </c>
      <c r="C20" s="22" t="s">
        <v>34</v>
      </c>
      <c r="D20" s="23">
        <v>10400</v>
      </c>
      <c r="E20" s="23">
        <v>12300</v>
      </c>
      <c r="F20" s="23">
        <v>11950</v>
      </c>
      <c r="G20" s="23">
        <v>11770.75</v>
      </c>
      <c r="H20" s="23">
        <v>12308.5</v>
      </c>
      <c r="I20" s="24">
        <v>0.02</v>
      </c>
      <c r="J20" s="24">
        <v>0.06</v>
      </c>
      <c r="K20" s="22" t="s">
        <v>44</v>
      </c>
      <c r="L20" s="26" t="s">
        <v>32</v>
      </c>
      <c r="M20" s="25" t="s">
        <v>24</v>
      </c>
    </row>
    <row r="21" spans="1:13" x14ac:dyDescent="0.25">
      <c r="A21" s="44" t="s">
        <v>45</v>
      </c>
      <c r="B21" s="40" t="s">
        <v>22</v>
      </c>
      <c r="C21" s="17" t="s">
        <v>34</v>
      </c>
      <c r="D21" s="18">
        <v>800</v>
      </c>
      <c r="E21" s="18">
        <v>980</v>
      </c>
      <c r="F21" s="18">
        <v>962</v>
      </c>
      <c r="G21" s="18">
        <v>947.57</v>
      </c>
      <c r="H21" s="18">
        <v>990.86</v>
      </c>
      <c r="I21" s="19">
        <v>1.4999999999999999E-2</v>
      </c>
      <c r="J21" s="19">
        <v>0.03</v>
      </c>
      <c r="K21" s="17" t="s">
        <v>39</v>
      </c>
      <c r="L21" s="26" t="s">
        <v>32</v>
      </c>
      <c r="M21" s="21" t="s">
        <v>20</v>
      </c>
    </row>
    <row r="22" spans="1:13" x14ac:dyDescent="0.25">
      <c r="A22" s="43" t="s">
        <v>46</v>
      </c>
      <c r="B22" s="39" t="s">
        <v>16</v>
      </c>
      <c r="C22" s="22" t="s">
        <v>17</v>
      </c>
      <c r="D22" s="23">
        <v>1110</v>
      </c>
      <c r="E22" s="23">
        <v>1225</v>
      </c>
      <c r="F22" s="23">
        <v>1132</v>
      </c>
      <c r="G22" s="23">
        <v>1148.98</v>
      </c>
      <c r="H22" s="23">
        <v>1098.04</v>
      </c>
      <c r="I22" s="24">
        <v>1.4999999999999999E-2</v>
      </c>
      <c r="J22" s="24">
        <v>0.03</v>
      </c>
      <c r="K22" s="22" t="s">
        <v>39</v>
      </c>
      <c r="L22" s="20" t="s">
        <v>19</v>
      </c>
      <c r="M22" s="21" t="s">
        <v>20</v>
      </c>
    </row>
    <row r="23" spans="1:13" x14ac:dyDescent="0.25">
      <c r="A23" s="44" t="s">
        <v>47</v>
      </c>
      <c r="B23" s="40" t="s">
        <v>16</v>
      </c>
      <c r="C23" s="17" t="s">
        <v>34</v>
      </c>
      <c r="D23" s="18">
        <v>2440</v>
      </c>
      <c r="E23" s="18">
        <v>2760</v>
      </c>
      <c r="F23" s="18">
        <v>2660</v>
      </c>
      <c r="G23" s="18">
        <v>2527</v>
      </c>
      <c r="H23" s="18">
        <v>2873</v>
      </c>
      <c r="I23" s="19">
        <v>0.05</v>
      </c>
      <c r="J23" s="19">
        <v>0.08</v>
      </c>
      <c r="K23" s="17" t="s">
        <v>44</v>
      </c>
      <c r="L23" s="26" t="s">
        <v>32</v>
      </c>
      <c r="M23" s="21" t="s">
        <v>20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/>
  </sheetViews>
  <sheetFormatPr defaultColWidth="8.625" defaultRowHeight="14.55" x14ac:dyDescent="0.25"/>
  <cols>
    <col min="1" max="1" width="22" customWidth="1"/>
    <col min="2" max="2" width="14" customWidth="1"/>
    <col min="3" max="3" width="4" customWidth="1"/>
    <col min="4" max="4" width="22" customWidth="1"/>
    <col min="5" max="8" width="12" customWidth="1"/>
  </cols>
  <sheetData>
    <row r="1" spans="1:8" ht="37.6" customHeight="1" x14ac:dyDescent="0.25">
      <c r="A1" s="32" t="s">
        <v>48</v>
      </c>
      <c r="B1" s="32"/>
      <c r="C1" s="32"/>
      <c r="D1" s="32"/>
      <c r="E1" s="32"/>
      <c r="F1" s="32"/>
      <c r="G1" s="32"/>
      <c r="H1" s="32"/>
    </row>
    <row r="2" spans="1:8" ht="19.600000000000001" customHeight="1" x14ac:dyDescent="0.25">
      <c r="A2" s="33" t="s">
        <v>49</v>
      </c>
      <c r="B2" s="33"/>
      <c r="C2" s="33"/>
      <c r="D2" s="33"/>
      <c r="E2" s="33"/>
      <c r="F2" s="33"/>
      <c r="G2" s="33"/>
      <c r="H2" s="33"/>
    </row>
    <row r="4" spans="1:8" ht="18" customHeight="1" x14ac:dyDescent="0.25">
      <c r="A4" s="1" t="s">
        <v>50</v>
      </c>
      <c r="D4" s="1" t="s">
        <v>51</v>
      </c>
    </row>
    <row r="5" spans="1:8" ht="21.85" customHeight="1" x14ac:dyDescent="0.25">
      <c r="A5" s="2" t="s">
        <v>52</v>
      </c>
      <c r="B5" s="3">
        <f>COUNTA('Trade Log'!A5:A23)</f>
        <v>19</v>
      </c>
      <c r="D5" s="4" t="s">
        <v>53</v>
      </c>
      <c r="E5" s="5">
        <f>COUNTIF('Trade Log'!M5:M23,"Profit")</f>
        <v>13</v>
      </c>
    </row>
    <row r="6" spans="1:8" ht="21.85" customHeight="1" x14ac:dyDescent="0.25">
      <c r="A6" s="2" t="s">
        <v>54</v>
      </c>
      <c r="B6" s="3">
        <f>COUNTIF('Trade Log'!M5:M23,"Profit")</f>
        <v>13</v>
      </c>
      <c r="D6" s="6" t="s">
        <v>55</v>
      </c>
      <c r="E6" s="7">
        <f>COUNTIF('Trade Log'!M5:M23,"Loss")</f>
        <v>6</v>
      </c>
    </row>
    <row r="7" spans="1:8" ht="21.85" customHeight="1" x14ac:dyDescent="0.25">
      <c r="A7" s="2" t="s">
        <v>24</v>
      </c>
      <c r="B7" s="3">
        <f>COUNTIF('Trade Log'!M5:M23,"Loss")</f>
        <v>6</v>
      </c>
      <c r="D7" s="8" t="s">
        <v>56</v>
      </c>
      <c r="E7" s="9">
        <f>COUNTIF('Trade Log'!L5:L23,"Buy setup")</f>
        <v>9</v>
      </c>
    </row>
    <row r="8" spans="1:8" ht="21.85" customHeight="1" x14ac:dyDescent="0.25">
      <c r="A8" s="10" t="s">
        <v>57</v>
      </c>
      <c r="B8" s="11">
        <f>B6/B5</f>
        <v>0.68421052631578949</v>
      </c>
      <c r="D8" s="12" t="s">
        <v>58</v>
      </c>
      <c r="E8" s="13">
        <f>COUNTIF('Trade Log'!L5:L23,"Sell setup")</f>
        <v>10</v>
      </c>
    </row>
    <row r="9" spans="1:8" ht="21.85" customHeight="1" x14ac:dyDescent="0.25">
      <c r="A9" s="2" t="s">
        <v>59</v>
      </c>
      <c r="B9" s="14">
        <f>AVERAGE('Trade Log'!I5:I23)</f>
        <v>1.7868421052631582E-2</v>
      </c>
    </row>
    <row r="10" spans="1:8" ht="21.85" customHeight="1" x14ac:dyDescent="0.25">
      <c r="A10" s="2" t="s">
        <v>60</v>
      </c>
      <c r="B10" s="14">
        <f>AVERAGE('Trade Log'!J5:J23)</f>
        <v>6.045789473684212E-2</v>
      </c>
    </row>
    <row r="11" spans="1:8" ht="21.85" customHeight="1" x14ac:dyDescent="0.25">
      <c r="A11" s="2" t="s">
        <v>61</v>
      </c>
      <c r="B11" s="15">
        <f>MAX('Trade Log'!J5:J23)/MIN('Trade Log'!I5:I23)</f>
        <v>12.693069306930694</v>
      </c>
    </row>
    <row r="12" spans="1:8" ht="21.85" customHeight="1" x14ac:dyDescent="0.25">
      <c r="A12" s="2" t="s">
        <v>62</v>
      </c>
      <c r="B12" s="3">
        <f>COUNTA('Trade Log'!L5:L23)</f>
        <v>19</v>
      </c>
    </row>
    <row r="14" spans="1:8" ht="9.6999999999999993" customHeight="1" x14ac:dyDescent="0.25">
      <c r="A14" s="35" t="s">
        <v>63</v>
      </c>
      <c r="B14" s="35"/>
      <c r="C14" s="35"/>
      <c r="D14" s="35"/>
      <c r="E14" s="35"/>
      <c r="F14" s="35"/>
      <c r="G14" s="35"/>
      <c r="H14" s="35"/>
    </row>
    <row r="15" spans="1:8" ht="21.85" customHeight="1" x14ac:dyDescent="0.25">
      <c r="A15" s="16" t="s">
        <v>64</v>
      </c>
      <c r="B15" s="34" t="s">
        <v>65</v>
      </c>
      <c r="C15" s="34"/>
      <c r="D15" s="34"/>
      <c r="E15" s="34"/>
      <c r="F15" s="34"/>
      <c r="G15" s="34"/>
      <c r="H15" s="34"/>
    </row>
    <row r="16" spans="1:8" ht="21.85" customHeight="1" x14ac:dyDescent="0.25">
      <c r="A16" s="16" t="s">
        <v>66</v>
      </c>
      <c r="B16" s="34" t="s">
        <v>67</v>
      </c>
      <c r="C16" s="34"/>
      <c r="D16" s="34"/>
      <c r="E16" s="34"/>
      <c r="F16" s="34"/>
      <c r="G16" s="34"/>
      <c r="H16" s="34"/>
    </row>
    <row r="17" spans="1:8" ht="21.85" customHeight="1" x14ac:dyDescent="0.25">
      <c r="A17" s="16" t="s">
        <v>68</v>
      </c>
      <c r="B17" s="34" t="s">
        <v>69</v>
      </c>
      <c r="C17" s="34"/>
      <c r="D17" s="34"/>
      <c r="E17" s="34"/>
      <c r="F17" s="34"/>
      <c r="G17" s="34"/>
      <c r="H17" s="34"/>
    </row>
    <row r="18" spans="1:8" ht="21.85" customHeight="1" x14ac:dyDescent="0.25">
      <c r="A18" s="16" t="s">
        <v>70</v>
      </c>
      <c r="B18" s="34" t="s">
        <v>71</v>
      </c>
      <c r="C18" s="34"/>
      <c r="D18" s="34"/>
      <c r="E18" s="34"/>
      <c r="F18" s="34"/>
      <c r="G18" s="34"/>
      <c r="H18" s="34"/>
    </row>
    <row r="19" spans="1:8" ht="21.85" customHeight="1" x14ac:dyDescent="0.25">
      <c r="A19" s="16" t="s">
        <v>72</v>
      </c>
      <c r="B19" s="34" t="s">
        <v>73</v>
      </c>
      <c r="C19" s="34"/>
      <c r="D19" s="34"/>
      <c r="E19" s="34"/>
      <c r="F19" s="34"/>
      <c r="G19" s="34"/>
      <c r="H19" s="34"/>
    </row>
    <row r="20" spans="1:8" ht="21.85" customHeight="1" x14ac:dyDescent="0.25">
      <c r="A20" s="16" t="s">
        <v>74</v>
      </c>
      <c r="B20" s="34" t="s">
        <v>75</v>
      </c>
      <c r="C20" s="34"/>
      <c r="D20" s="34"/>
      <c r="E20" s="34"/>
      <c r="F20" s="34"/>
      <c r="G20" s="34"/>
      <c r="H20" s="34"/>
    </row>
  </sheetData>
  <mergeCells count="9">
    <mergeCell ref="B17:H17"/>
    <mergeCell ref="B18:H18"/>
    <mergeCell ref="B19:H19"/>
    <mergeCell ref="B20:H20"/>
    <mergeCell ref="A1:H1"/>
    <mergeCell ref="A2:H2"/>
    <mergeCell ref="A14:H14"/>
    <mergeCell ref="B15:H15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Log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kumar</cp:lastModifiedBy>
  <cp:revision>0</cp:revision>
  <dcterms:created xsi:type="dcterms:W3CDTF">2026-06-21T08:58:13Z</dcterms:created>
  <dcterms:modified xsi:type="dcterms:W3CDTF">2026-06-21T09:16:17Z</dcterms:modified>
  <dc:language>en-US</dc:language>
</cp:coreProperties>
</file>